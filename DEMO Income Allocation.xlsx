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samleslie/Downloads/"/>
    </mc:Choice>
  </mc:AlternateContent>
  <xr:revisionPtr revIDLastSave="0" documentId="13_ncr:1_{359CA9FD-A858-5348-A058-A4D69A30EE57}" xr6:coauthVersionLast="47" xr6:coauthVersionMax="47" xr10:uidLastSave="{00000000-0000-0000-0000-000000000000}"/>
  <bookViews>
    <workbookView xWindow="-20" yWindow="820" windowWidth="30240" windowHeight="17840" activeTab="2" xr2:uid="{00000000-000D-0000-FFFF-FFFF00000000}"/>
  </bookViews>
  <sheets>
    <sheet name="TEMPLATE" sheetId="1" r:id="rId1"/>
    <sheet name="Example client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2" l="1"/>
  <c r="B23" i="2"/>
  <c r="B21" i="2"/>
  <c r="B6" i="2"/>
  <c r="B7" i="2"/>
  <c r="B5" i="2"/>
  <c r="B12" i="2"/>
  <c r="C12" i="2"/>
  <c r="B14" i="2"/>
  <c r="B15" i="2"/>
  <c r="B13" i="2"/>
  <c r="F3" i="2"/>
  <c r="G6" i="2"/>
  <c r="F2" i="2"/>
  <c r="F6" i="2" s="1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F19" i="3"/>
  <c r="E19" i="3"/>
  <c r="B19" i="3"/>
  <c r="F18" i="3"/>
  <c r="E18" i="3"/>
  <c r="B18" i="3"/>
  <c r="F17" i="3"/>
  <c r="E17" i="3"/>
  <c r="B17" i="3"/>
  <c r="F16" i="3"/>
  <c r="E16" i="3"/>
  <c r="B16" i="3"/>
  <c r="F15" i="3"/>
  <c r="E15" i="3"/>
  <c r="B15" i="3"/>
  <c r="F14" i="3"/>
  <c r="E14" i="3"/>
  <c r="B14" i="3"/>
  <c r="F13" i="3"/>
  <c r="E13" i="3"/>
  <c r="B13" i="3"/>
  <c r="F12" i="3"/>
  <c r="E12" i="3"/>
  <c r="B12" i="3"/>
  <c r="F11" i="3"/>
  <c r="E11" i="3"/>
  <c r="B11" i="3"/>
  <c r="F10" i="3"/>
  <c r="E10" i="3"/>
  <c r="B10" i="3"/>
  <c r="F9" i="3"/>
  <c r="E9" i="3"/>
  <c r="B9" i="3"/>
  <c r="F8" i="3"/>
  <c r="E8" i="3"/>
  <c r="B8" i="3"/>
  <c r="F7" i="3"/>
  <c r="E7" i="3"/>
  <c r="B7" i="3"/>
  <c r="F6" i="3"/>
  <c r="E6" i="3"/>
  <c r="B6" i="3"/>
  <c r="F5" i="3"/>
  <c r="E5" i="3"/>
  <c r="B5" i="3"/>
  <c r="F4" i="3"/>
  <c r="E4" i="3"/>
  <c r="B4" i="3"/>
  <c r="F3" i="3"/>
  <c r="E3" i="3"/>
  <c r="B3" i="3"/>
  <c r="C24" i="2"/>
  <c r="C20" i="2"/>
  <c r="B19" i="2"/>
  <c r="B20" i="2" s="1"/>
  <c r="C16" i="2"/>
  <c r="B11" i="2"/>
  <c r="C8" i="2"/>
  <c r="H6" i="2"/>
  <c r="C4" i="2"/>
  <c r="B4" i="2"/>
  <c r="B3" i="2"/>
  <c r="C24" i="1"/>
  <c r="C20" i="1"/>
  <c r="B19" i="1"/>
  <c r="B20" i="1" s="1"/>
  <c r="C16" i="1"/>
  <c r="B13" i="1"/>
  <c r="C12" i="1"/>
  <c r="B12" i="1"/>
  <c r="B15" i="1" s="1"/>
  <c r="B11" i="1"/>
  <c r="C8" i="1"/>
  <c r="H6" i="1"/>
  <c r="G6" i="1"/>
  <c r="F6" i="1"/>
  <c r="I6" i="1" s="1"/>
  <c r="C4" i="1"/>
  <c r="B3" i="1"/>
  <c r="B4" i="1" s="1"/>
  <c r="D2" i="3"/>
  <c r="E2" i="3"/>
  <c r="C2" i="3"/>
  <c r="B2" i="3"/>
  <c r="F2" i="3"/>
  <c r="I6" i="2" l="1"/>
  <c r="D20" i="3"/>
  <c r="G12" i="3"/>
  <c r="G4" i="3"/>
  <c r="G7" i="3"/>
  <c r="G15" i="3"/>
  <c r="G8" i="3"/>
  <c r="G2" i="3"/>
  <c r="G10" i="3"/>
  <c r="G18" i="3"/>
  <c r="G3" i="3"/>
  <c r="G11" i="3"/>
  <c r="G16" i="3"/>
  <c r="G19" i="3"/>
  <c r="G6" i="3"/>
  <c r="G14" i="3"/>
  <c r="B20" i="3"/>
  <c r="E20" i="3"/>
  <c r="G5" i="3"/>
  <c r="G13" i="3"/>
  <c r="F20" i="3"/>
  <c r="G9" i="3"/>
  <c r="G17" i="3"/>
  <c r="C20" i="3"/>
  <c r="B5" i="1"/>
  <c r="B7" i="1"/>
  <c r="B6" i="1"/>
  <c r="B23" i="1"/>
  <c r="B21" i="1"/>
  <c r="B22" i="1"/>
  <c r="B14" i="1"/>
  <c r="G20" i="3" l="1"/>
</calcChain>
</file>

<file path=xl/sharedStrings.xml><?xml version="1.0" encoding="utf-8"?>
<sst xmlns="http://schemas.openxmlformats.org/spreadsheetml/2006/main" count="83" uniqueCount="31">
  <si>
    <t>Key moments:</t>
  </si>
  <si>
    <t>Amounts</t>
  </si>
  <si>
    <t>Chosen Percentages</t>
  </si>
  <si>
    <t>Equity split</t>
  </si>
  <si>
    <t>Founder 1 Equity</t>
  </si>
  <si>
    <t>Founder 2 Equity</t>
  </si>
  <si>
    <t>Subcontracter payment</t>
  </si>
  <si>
    <t>Total income</t>
  </si>
  <si>
    <t>Video</t>
  </si>
  <si>
    <t>Expense deduction</t>
  </si>
  <si>
    <t>Edit</t>
  </si>
  <si>
    <t>total - expenses</t>
  </si>
  <si>
    <t>Admin</t>
  </si>
  <si>
    <t>Videographer</t>
  </si>
  <si>
    <t>Other</t>
  </si>
  <si>
    <t>total equity:</t>
  </si>
  <si>
    <t>Editor</t>
  </si>
  <si>
    <t>Totals:</t>
  </si>
  <si>
    <t>Admin Fee</t>
  </si>
  <si>
    <t>Collected:</t>
  </si>
  <si>
    <t>Tip</t>
  </si>
  <si>
    <t>Cinematic Cut:</t>
  </si>
  <si>
    <t>Videographer #1</t>
  </si>
  <si>
    <t>Videographer #2</t>
  </si>
  <si>
    <t>Documentary:</t>
  </si>
  <si>
    <t>SUMMARY</t>
  </si>
  <si>
    <t>Total Income</t>
  </si>
  <si>
    <t>Deducted for Expenses</t>
  </si>
  <si>
    <t>Subcontracter payments</t>
  </si>
  <si>
    <t>Equity Total</t>
  </si>
  <si>
    <t>Example 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</si>
</sst>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1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i/>
      <sz val="10"/>
      <color theme="1"/>
      <name val="Arial"/>
      <family val="2"/>
      <scheme val="minor"/>
    </font>
    <font>
      <i/>
      <u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i/>
      <u/>
      <sz val="10"/>
      <color theme="1"/>
      <name val="Arial"/>
      <family val="2"/>
      <scheme val="minor"/>
    </font>
    <font>
      <u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  <font>
      <b/>
      <u/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/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/>
      <right/>
      <top style="dotted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/>
      <right style="dotted">
        <color rgb="FF000000"/>
      </right>
      <top/>
      <bottom style="thin">
        <color rgb="FF000000"/>
      </bottom>
      <diagonal/>
    </border>
    <border>
      <left/>
      <right style="dotted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4" fillId="0" borderId="0" xfId="0" applyFont="1"/>
    <xf numFmtId="0" fontId="1" fillId="0" borderId="6" xfId="0" applyFont="1" applyBorder="1"/>
    <xf numFmtId="0" fontId="4" fillId="0" borderId="7" xfId="0" applyFont="1" applyBorder="1"/>
    <xf numFmtId="0" fontId="4" fillId="0" borderId="8" xfId="0" applyFont="1" applyBorder="1"/>
    <xf numFmtId="44" fontId="4" fillId="0" borderId="0" xfId="0" applyNumberFormat="1" applyFont="1"/>
    <xf numFmtId="44" fontId="4" fillId="0" borderId="7" xfId="0" applyNumberFormat="1" applyFont="1" applyBorder="1"/>
    <xf numFmtId="10" fontId="4" fillId="0" borderId="5" xfId="0" applyNumberFormat="1" applyFont="1" applyBorder="1"/>
    <xf numFmtId="44" fontId="4" fillId="0" borderId="5" xfId="0" applyNumberFormat="1" applyFont="1" applyBorder="1"/>
    <xf numFmtId="0" fontId="4" fillId="0" borderId="9" xfId="0" applyFont="1" applyBorder="1"/>
    <xf numFmtId="44" fontId="4" fillId="0" borderId="9" xfId="0" applyNumberFormat="1" applyFont="1" applyBorder="1"/>
    <xf numFmtId="10" fontId="4" fillId="0" borderId="10" xfId="0" applyNumberFormat="1" applyFont="1" applyBorder="1"/>
    <xf numFmtId="0" fontId="5" fillId="0" borderId="11" xfId="0" applyFont="1" applyBorder="1"/>
    <xf numFmtId="0" fontId="4" fillId="0" borderId="12" xfId="0" applyFont="1" applyBorder="1"/>
    <xf numFmtId="44" fontId="4" fillId="0" borderId="13" xfId="0" applyNumberFormat="1" applyFont="1" applyBorder="1"/>
    <xf numFmtId="44" fontId="4" fillId="0" borderId="14" xfId="0" applyNumberFormat="1" applyFont="1" applyBorder="1"/>
    <xf numFmtId="10" fontId="4" fillId="0" borderId="15" xfId="0" applyNumberFormat="1" applyFont="1" applyBorder="1"/>
    <xf numFmtId="0" fontId="2" fillId="0" borderId="16" xfId="0" applyFont="1" applyBorder="1"/>
    <xf numFmtId="164" fontId="4" fillId="0" borderId="16" xfId="0" applyNumberFormat="1" applyFont="1" applyBorder="1"/>
    <xf numFmtId="10" fontId="4" fillId="0" borderId="17" xfId="0" applyNumberFormat="1" applyFont="1" applyBorder="1"/>
    <xf numFmtId="0" fontId="4" fillId="0" borderId="1" xfId="0" applyFont="1" applyBorder="1"/>
    <xf numFmtId="164" fontId="6" fillId="0" borderId="6" xfId="0" applyNumberFormat="1" applyFont="1" applyBorder="1"/>
    <xf numFmtId="0" fontId="4" fillId="0" borderId="18" xfId="0" applyFont="1" applyBorder="1"/>
    <xf numFmtId="44" fontId="4" fillId="0" borderId="18" xfId="0" applyNumberFormat="1" applyFont="1" applyBorder="1"/>
    <xf numFmtId="0" fontId="2" fillId="0" borderId="4" xfId="0" applyFont="1" applyBorder="1"/>
    <xf numFmtId="44" fontId="4" fillId="0" borderId="4" xfId="0" applyNumberFormat="1" applyFont="1" applyBorder="1"/>
    <xf numFmtId="0" fontId="2" fillId="0" borderId="13" xfId="0" applyFont="1" applyBorder="1"/>
    <xf numFmtId="10" fontId="4" fillId="0" borderId="19" xfId="0" applyNumberFormat="1" applyFont="1" applyBorder="1"/>
    <xf numFmtId="0" fontId="7" fillId="0" borderId="5" xfId="0" applyFont="1" applyBorder="1"/>
    <xf numFmtId="0" fontId="1" fillId="0" borderId="20" xfId="0" applyFont="1" applyBorder="1"/>
    <xf numFmtId="0" fontId="1" fillId="0" borderId="17" xfId="0" applyFont="1" applyBorder="1"/>
    <xf numFmtId="0" fontId="4" fillId="0" borderId="5" xfId="0" applyFont="1" applyBorder="1"/>
    <xf numFmtId="0" fontId="4" fillId="0" borderId="13" xfId="0" applyFont="1" applyBorder="1"/>
    <xf numFmtId="44" fontId="9" fillId="0" borderId="22" xfId="0" applyNumberFormat="1" applyFont="1" applyBorder="1"/>
    <xf numFmtId="44" fontId="1" fillId="0" borderId="13" xfId="0" applyNumberFormat="1" applyFont="1" applyBorder="1"/>
    <xf numFmtId="164" fontId="4" fillId="0" borderId="9" xfId="0" applyNumberFormat="1" applyFont="1" applyBorder="1"/>
    <xf numFmtId="0" fontId="4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44" fontId="4" fillId="0" borderId="21" xfId="0" applyNumberFormat="1" applyFont="1" applyBorder="1"/>
    <xf numFmtId="44" fontId="8" fillId="0" borderId="5" xfId="0" applyNumberFormat="1" applyFont="1" applyBorder="1"/>
    <xf numFmtId="44" fontId="10" fillId="0" borderId="22" xfId="0" applyNumberFormat="1" applyFont="1" applyBorder="1"/>
    <xf numFmtId="44" fontId="0" fillId="0" borderId="0" xfId="0" applyNumberFormat="1"/>
  </cellXfs>
  <cellStyles count="1">
    <cellStyle name="Normal" xfId="0" builtinId="0"/>
  </cellStyles>
  <dxfs count="23"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D9EAD3"/>
          <bgColor rgb="FFD9EAD3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24"/>
  <sheetViews>
    <sheetView workbookViewId="0"/>
  </sheetViews>
  <sheetFormatPr baseColWidth="10" defaultColWidth="12.6640625" defaultRowHeight="15.75" customHeight="1" x14ac:dyDescent="0.15"/>
  <cols>
    <col min="1" max="1" width="18.83203125" customWidth="1"/>
    <col min="3" max="3" width="16.5" customWidth="1"/>
    <col min="6" max="7" width="14.6640625" customWidth="1"/>
    <col min="8" max="8" width="21" customWidth="1"/>
  </cols>
  <sheetData>
    <row r="1" spans="1:9" ht="15.75" customHeight="1" x14ac:dyDescent="0.15">
      <c r="A1" s="1" t="s">
        <v>0</v>
      </c>
      <c r="B1" s="2" t="s">
        <v>1</v>
      </c>
      <c r="C1" s="2" t="s">
        <v>2</v>
      </c>
      <c r="E1" s="3" t="s">
        <v>3</v>
      </c>
      <c r="F1" s="4" t="s">
        <v>4</v>
      </c>
      <c r="G1" s="5" t="s">
        <v>5</v>
      </c>
      <c r="H1" s="6" t="s">
        <v>6</v>
      </c>
    </row>
    <row r="2" spans="1:9" ht="15.75" customHeight="1" x14ac:dyDescent="0.15">
      <c r="A2" s="7" t="s">
        <v>7</v>
      </c>
      <c r="B2" s="8"/>
      <c r="C2" s="9"/>
      <c r="E2" s="10" t="s">
        <v>8</v>
      </c>
      <c r="G2" s="11"/>
      <c r="H2" s="12"/>
    </row>
    <row r="3" spans="1:9" ht="15.75" customHeight="1" x14ac:dyDescent="0.15">
      <c r="A3" s="7" t="s">
        <v>9</v>
      </c>
      <c r="B3" s="11">
        <f>B2*C3</f>
        <v>0</v>
      </c>
      <c r="C3" s="13">
        <v>0.1</v>
      </c>
      <c r="E3" s="10" t="s">
        <v>10</v>
      </c>
      <c r="F3" s="11"/>
      <c r="H3" s="14"/>
    </row>
    <row r="4" spans="1:9" ht="15.75" customHeight="1" x14ac:dyDescent="0.15">
      <c r="A4" s="15" t="s">
        <v>11</v>
      </c>
      <c r="B4" s="16">
        <f>B2-B3</f>
        <v>0</v>
      </c>
      <c r="C4" s="17">
        <f>C5+C6+C7</f>
        <v>0.9</v>
      </c>
      <c r="E4" s="10" t="s">
        <v>12</v>
      </c>
      <c r="F4" s="11"/>
      <c r="H4" s="14"/>
    </row>
    <row r="5" spans="1:9" ht="15.75" customHeight="1" x14ac:dyDescent="0.15">
      <c r="A5" s="7" t="s">
        <v>13</v>
      </c>
      <c r="B5" s="11">
        <f>C5*B4</f>
        <v>0</v>
      </c>
      <c r="C5" s="13">
        <v>0.25</v>
      </c>
      <c r="E5" s="10" t="s">
        <v>14</v>
      </c>
      <c r="F5" s="11"/>
      <c r="H5" s="11"/>
      <c r="I5" s="18" t="s">
        <v>15</v>
      </c>
    </row>
    <row r="6" spans="1:9" ht="15.75" customHeight="1" x14ac:dyDescent="0.15">
      <c r="A6" s="7" t="s">
        <v>16</v>
      </c>
      <c r="B6" s="11">
        <f>C6*B4</f>
        <v>0</v>
      </c>
      <c r="C6" s="13">
        <v>0.55000000000000004</v>
      </c>
      <c r="E6" s="19" t="s">
        <v>17</v>
      </c>
      <c r="F6" s="20">
        <f t="shared" ref="F6:H6" si="0">SUM(F2:F5)</f>
        <v>0</v>
      </c>
      <c r="G6" s="20">
        <f t="shared" si="0"/>
        <v>0</v>
      </c>
      <c r="H6" s="20">
        <f t="shared" si="0"/>
        <v>0</v>
      </c>
      <c r="I6" s="21">
        <f>SUM(F6:H6)</f>
        <v>0</v>
      </c>
    </row>
    <row r="7" spans="1:9" ht="15.75" customHeight="1" x14ac:dyDescent="0.15">
      <c r="A7" s="7" t="s">
        <v>18</v>
      </c>
      <c r="B7" s="11">
        <f>C7*B4</f>
        <v>0</v>
      </c>
      <c r="C7" s="22">
        <v>0.1</v>
      </c>
      <c r="E7" s="7" t="s">
        <v>19</v>
      </c>
      <c r="F7" s="7" t="b">
        <v>0</v>
      </c>
      <c r="G7" s="7" t="b">
        <v>0</v>
      </c>
      <c r="H7" s="7" t="b">
        <v>0</v>
      </c>
    </row>
    <row r="8" spans="1:9" ht="15.75" customHeight="1" x14ac:dyDescent="0.15">
      <c r="A8" s="23" t="s">
        <v>20</v>
      </c>
      <c r="B8" s="24"/>
      <c r="C8" s="25">
        <f>IF(B2=0,,B8/B2)</f>
        <v>0</v>
      </c>
    </row>
    <row r="9" spans="1:9" ht="15.75" customHeight="1" x14ac:dyDescent="0.15">
      <c r="A9" s="1" t="s">
        <v>21</v>
      </c>
      <c r="B9" s="26"/>
      <c r="C9" s="26"/>
    </row>
    <row r="10" spans="1:9" ht="15.75" customHeight="1" x14ac:dyDescent="0.15">
      <c r="A10" s="7" t="s">
        <v>7</v>
      </c>
      <c r="B10" s="27"/>
      <c r="C10" s="9"/>
    </row>
    <row r="11" spans="1:9" ht="15.75" customHeight="1" x14ac:dyDescent="0.15">
      <c r="A11" s="7" t="s">
        <v>9</v>
      </c>
      <c r="B11" s="11">
        <f>B10*C11</f>
        <v>0</v>
      </c>
      <c r="C11" s="13">
        <v>0.1</v>
      </c>
    </row>
    <row r="12" spans="1:9" ht="15.75" customHeight="1" x14ac:dyDescent="0.15">
      <c r="A12" s="15" t="s">
        <v>11</v>
      </c>
      <c r="B12" s="16">
        <f>B10-B11</f>
        <v>0</v>
      </c>
      <c r="C12" s="17">
        <f>C13+C14+C15</f>
        <v>0.89999999999999991</v>
      </c>
    </row>
    <row r="13" spans="1:9" ht="15.75" customHeight="1" x14ac:dyDescent="0.15">
      <c r="A13" s="7" t="s">
        <v>22</v>
      </c>
      <c r="B13" s="11">
        <f>C13*B12</f>
        <v>0</v>
      </c>
      <c r="C13" s="13">
        <v>0.3</v>
      </c>
    </row>
    <row r="14" spans="1:9" ht="15.75" customHeight="1" x14ac:dyDescent="0.15">
      <c r="A14" s="7" t="s">
        <v>23</v>
      </c>
      <c r="B14" s="11">
        <f>C14*B12</f>
        <v>0</v>
      </c>
      <c r="C14" s="13">
        <v>0.3</v>
      </c>
    </row>
    <row r="15" spans="1:9" ht="15.75" customHeight="1" x14ac:dyDescent="0.15">
      <c r="A15" s="28" t="s">
        <v>16</v>
      </c>
      <c r="B15" s="29">
        <f>C15*B12</f>
        <v>0</v>
      </c>
      <c r="C15" s="22">
        <v>0.3</v>
      </c>
    </row>
    <row r="16" spans="1:9" ht="15.75" customHeight="1" x14ac:dyDescent="0.15">
      <c r="A16" s="30" t="s">
        <v>20</v>
      </c>
      <c r="B16" s="31"/>
      <c r="C16" s="25">
        <f>IF(B10=0,,B16/B10)</f>
        <v>0</v>
      </c>
    </row>
    <row r="17" spans="1:3" ht="15.75" customHeight="1" x14ac:dyDescent="0.15">
      <c r="A17" s="1" t="s">
        <v>24</v>
      </c>
    </row>
    <row r="18" spans="1:3" ht="15.75" customHeight="1" x14ac:dyDescent="0.15">
      <c r="A18" s="7" t="s">
        <v>7</v>
      </c>
      <c r="B18" s="8"/>
      <c r="C18" s="9"/>
    </row>
    <row r="19" spans="1:3" ht="15.75" customHeight="1" x14ac:dyDescent="0.15">
      <c r="A19" s="7" t="s">
        <v>9</v>
      </c>
      <c r="B19" s="29">
        <f>B18*C19</f>
        <v>0</v>
      </c>
      <c r="C19" s="13">
        <v>0.1</v>
      </c>
    </row>
    <row r="20" spans="1:3" ht="15.75" customHeight="1" x14ac:dyDescent="0.15">
      <c r="A20" s="15" t="s">
        <v>11</v>
      </c>
      <c r="B20" s="29">
        <f>B18-B19</f>
        <v>0</v>
      </c>
      <c r="C20" s="17">
        <f>C21+C22+C23</f>
        <v>1</v>
      </c>
    </row>
    <row r="21" spans="1:3" ht="15.75" customHeight="1" x14ac:dyDescent="0.15">
      <c r="A21" s="7" t="s">
        <v>22</v>
      </c>
      <c r="B21" s="11">
        <f>C21*B20</f>
        <v>0</v>
      </c>
      <c r="C21" s="13">
        <v>0.25</v>
      </c>
    </row>
    <row r="22" spans="1:3" ht="15.75" customHeight="1" x14ac:dyDescent="0.15">
      <c r="A22" s="7" t="s">
        <v>23</v>
      </c>
      <c r="B22" s="11">
        <f>C22*B20</f>
        <v>0</v>
      </c>
      <c r="C22" s="13">
        <v>0.25</v>
      </c>
    </row>
    <row r="23" spans="1:3" ht="15.75" customHeight="1" x14ac:dyDescent="0.15">
      <c r="A23" s="7" t="s">
        <v>16</v>
      </c>
      <c r="B23" s="11">
        <f>C23*B20</f>
        <v>0</v>
      </c>
      <c r="C23" s="13">
        <v>0.5</v>
      </c>
    </row>
    <row r="24" spans="1:3" ht="15.75" customHeight="1" x14ac:dyDescent="0.15">
      <c r="A24" s="32" t="s">
        <v>20</v>
      </c>
      <c r="B24" s="20"/>
      <c r="C24" s="33">
        <f>IF(B18=0,,B24/B18)</f>
        <v>0</v>
      </c>
    </row>
  </sheetData>
  <conditionalFormatting sqref="I6">
    <cfRule type="expression" dxfId="22" priority="1">
      <formula>AND(I6&lt;&gt;$B$12, I6&lt;&gt;$B$4, I6&lt;&gt;$B$20,I6&lt;&gt;0)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4"/>
  <sheetViews>
    <sheetView zoomScale="150" workbookViewId="0">
      <selection activeCell="H3" sqref="H3"/>
    </sheetView>
  </sheetViews>
  <sheetFormatPr baseColWidth="10" defaultColWidth="12.6640625" defaultRowHeight="15.75" customHeight="1" x14ac:dyDescent="0.15"/>
  <cols>
    <col min="1" max="1" width="18.83203125" customWidth="1"/>
    <col min="3" max="3" width="16.5" customWidth="1"/>
    <col min="6" max="7" width="14.6640625" customWidth="1"/>
    <col min="8" max="8" width="21" customWidth="1"/>
  </cols>
  <sheetData>
    <row r="1" spans="1:9" ht="15.75" customHeight="1" x14ac:dyDescent="0.15">
      <c r="A1" s="1" t="s">
        <v>0</v>
      </c>
      <c r="B1" s="2" t="s">
        <v>1</v>
      </c>
      <c r="C1" s="2" t="s">
        <v>2</v>
      </c>
      <c r="E1" s="3" t="s">
        <v>3</v>
      </c>
      <c r="F1" s="4" t="s">
        <v>4</v>
      </c>
      <c r="G1" s="5" t="s">
        <v>5</v>
      </c>
      <c r="H1" s="6" t="s">
        <v>6</v>
      </c>
    </row>
    <row r="2" spans="1:9" ht="15.75" customHeight="1" x14ac:dyDescent="0.15">
      <c r="A2" s="7" t="s">
        <v>7</v>
      </c>
      <c r="B2" s="8"/>
      <c r="C2" s="9"/>
      <c r="E2" s="10" t="s">
        <v>8</v>
      </c>
      <c r="F2" s="46">
        <f>B13</f>
        <v>900</v>
      </c>
      <c r="G2" s="11">
        <v>600</v>
      </c>
      <c r="H2" s="12">
        <v>300</v>
      </c>
    </row>
    <row r="3" spans="1:9" ht="15.75" customHeight="1" x14ac:dyDescent="0.15">
      <c r="A3" s="7" t="s">
        <v>9</v>
      </c>
      <c r="B3" s="11">
        <f>B2*C3</f>
        <v>0</v>
      </c>
      <c r="C3" s="13">
        <v>0.1</v>
      </c>
      <c r="E3" s="10" t="s">
        <v>10</v>
      </c>
      <c r="F3" s="11">
        <f>B15</f>
        <v>900</v>
      </c>
      <c r="H3" s="14"/>
    </row>
    <row r="4" spans="1:9" ht="15.75" customHeight="1" x14ac:dyDescent="0.15">
      <c r="A4" s="15" t="s">
        <v>11</v>
      </c>
      <c r="B4" s="16">
        <f>B2-B3</f>
        <v>0</v>
      </c>
      <c r="C4" s="17">
        <f>C5+C6+C7</f>
        <v>0.9</v>
      </c>
      <c r="E4" s="10" t="s">
        <v>12</v>
      </c>
      <c r="F4" s="11"/>
      <c r="H4" s="14"/>
    </row>
    <row r="5" spans="1:9" ht="15.75" customHeight="1" x14ac:dyDescent="0.15">
      <c r="A5" s="7" t="s">
        <v>13</v>
      </c>
      <c r="B5" s="11">
        <f>C5*$B$2</f>
        <v>0</v>
      </c>
      <c r="C5" s="13">
        <v>0.25</v>
      </c>
      <c r="E5" s="10" t="s">
        <v>14</v>
      </c>
      <c r="F5" s="11"/>
      <c r="H5" s="11"/>
      <c r="I5" s="18" t="s">
        <v>15</v>
      </c>
    </row>
    <row r="6" spans="1:9" ht="15.75" customHeight="1" x14ac:dyDescent="0.15">
      <c r="A6" s="7" t="s">
        <v>16</v>
      </c>
      <c r="B6" s="11">
        <f t="shared" ref="B6:B7" si="0">C6*$B$2</f>
        <v>0</v>
      </c>
      <c r="C6" s="13">
        <v>0.55000000000000004</v>
      </c>
      <c r="E6" s="19" t="s">
        <v>17</v>
      </c>
      <c r="F6" s="20">
        <f>SUM(F2:F5)</f>
        <v>1800</v>
      </c>
      <c r="G6" s="20">
        <f>SUM(G2:G5)</f>
        <v>600</v>
      </c>
      <c r="H6" s="20">
        <f t="shared" ref="F6:H6" si="1">SUM(H2:H5)</f>
        <v>300</v>
      </c>
      <c r="I6" s="21">
        <f>SUM(F6:H6)</f>
        <v>2700</v>
      </c>
    </row>
    <row r="7" spans="1:9" ht="15.75" customHeight="1" x14ac:dyDescent="0.15">
      <c r="A7" s="7" t="s">
        <v>18</v>
      </c>
      <c r="B7" s="11">
        <f t="shared" si="0"/>
        <v>0</v>
      </c>
      <c r="C7" s="22">
        <v>0.1</v>
      </c>
      <c r="E7" s="7" t="s">
        <v>19</v>
      </c>
      <c r="F7" s="42" t="b">
        <v>1</v>
      </c>
      <c r="G7" s="42" t="b">
        <v>0</v>
      </c>
      <c r="H7" s="42" t="b">
        <v>1</v>
      </c>
    </row>
    <row r="8" spans="1:9" ht="15.75" customHeight="1" x14ac:dyDescent="0.15">
      <c r="A8" s="23" t="s">
        <v>20</v>
      </c>
      <c r="B8" s="24"/>
      <c r="C8" s="25">
        <f>IF(B2=0,,B8/B2)</f>
        <v>0</v>
      </c>
    </row>
    <row r="9" spans="1:9" ht="15.75" customHeight="1" x14ac:dyDescent="0.15">
      <c r="A9" s="1" t="s">
        <v>21</v>
      </c>
      <c r="B9" s="26"/>
      <c r="C9" s="26"/>
    </row>
    <row r="10" spans="1:9" ht="15.75" customHeight="1" x14ac:dyDescent="0.15">
      <c r="A10" s="7" t="s">
        <v>7</v>
      </c>
      <c r="B10" s="27">
        <v>3000</v>
      </c>
      <c r="C10" s="9"/>
    </row>
    <row r="11" spans="1:9" ht="15.75" customHeight="1" x14ac:dyDescent="0.15">
      <c r="A11" s="7" t="s">
        <v>9</v>
      </c>
      <c r="B11" s="11">
        <f>B10*C11</f>
        <v>300</v>
      </c>
      <c r="C11" s="13">
        <v>0.1</v>
      </c>
    </row>
    <row r="12" spans="1:9" ht="15.75" customHeight="1" x14ac:dyDescent="0.15">
      <c r="A12" s="15" t="s">
        <v>11</v>
      </c>
      <c r="B12" s="41">
        <f>B10-B11</f>
        <v>2700</v>
      </c>
      <c r="C12" s="17">
        <f>C13+C14+C15</f>
        <v>0.89999999999999991</v>
      </c>
    </row>
    <row r="13" spans="1:9" ht="15.75" customHeight="1" x14ac:dyDescent="0.15">
      <c r="A13" s="7" t="s">
        <v>22</v>
      </c>
      <c r="B13" s="11">
        <f>C13*$B$10</f>
        <v>900</v>
      </c>
      <c r="C13" s="13">
        <v>0.3</v>
      </c>
      <c r="E13" s="46"/>
    </row>
    <row r="14" spans="1:9" ht="15.75" customHeight="1" x14ac:dyDescent="0.15">
      <c r="A14" s="7" t="s">
        <v>23</v>
      </c>
      <c r="B14" s="11">
        <f t="shared" ref="B14:B15" si="2">C14*$B$10</f>
        <v>900</v>
      </c>
      <c r="C14" s="13">
        <v>0.3</v>
      </c>
    </row>
    <row r="15" spans="1:9" ht="15.75" customHeight="1" x14ac:dyDescent="0.15">
      <c r="A15" s="28" t="s">
        <v>16</v>
      </c>
      <c r="B15" s="11">
        <f t="shared" si="2"/>
        <v>900</v>
      </c>
      <c r="C15" s="22">
        <v>0.3</v>
      </c>
    </row>
    <row r="16" spans="1:9" ht="15.75" customHeight="1" x14ac:dyDescent="0.15">
      <c r="A16" s="30" t="s">
        <v>20</v>
      </c>
      <c r="B16" s="31"/>
      <c r="C16" s="25">
        <f>IF(B10=0,,B16/B10)</f>
        <v>0</v>
      </c>
    </row>
    <row r="17" spans="1:3" ht="15.75" customHeight="1" x14ac:dyDescent="0.15">
      <c r="A17" s="1" t="s">
        <v>24</v>
      </c>
    </row>
    <row r="18" spans="1:3" ht="15.75" customHeight="1" x14ac:dyDescent="0.15">
      <c r="A18" s="7" t="s">
        <v>7</v>
      </c>
      <c r="B18" s="8"/>
      <c r="C18" s="9"/>
    </row>
    <row r="19" spans="1:3" ht="15.75" customHeight="1" x14ac:dyDescent="0.15">
      <c r="A19" s="7" t="s">
        <v>9</v>
      </c>
      <c r="B19" s="29">
        <f>B18*C19</f>
        <v>0</v>
      </c>
      <c r="C19" s="13">
        <v>0.1</v>
      </c>
    </row>
    <row r="20" spans="1:3" ht="15.75" customHeight="1" x14ac:dyDescent="0.15">
      <c r="A20" s="15" t="s">
        <v>11</v>
      </c>
      <c r="B20" s="29">
        <f>B18-B19</f>
        <v>0</v>
      </c>
      <c r="C20" s="17">
        <f>C21+C22+C23</f>
        <v>1</v>
      </c>
    </row>
    <row r="21" spans="1:3" ht="15.75" customHeight="1" x14ac:dyDescent="0.15">
      <c r="A21" s="7" t="s">
        <v>22</v>
      </c>
      <c r="B21" s="11">
        <f>C21*$B$18</f>
        <v>0</v>
      </c>
      <c r="C21" s="13">
        <v>0.25</v>
      </c>
    </row>
    <row r="22" spans="1:3" ht="15.75" customHeight="1" x14ac:dyDescent="0.15">
      <c r="A22" s="7" t="s">
        <v>23</v>
      </c>
      <c r="B22" s="11">
        <f t="shared" ref="B22:B23" si="3">C22*$B$18</f>
        <v>0</v>
      </c>
      <c r="C22" s="13">
        <v>0.25</v>
      </c>
    </row>
    <row r="23" spans="1:3" ht="15.75" customHeight="1" x14ac:dyDescent="0.15">
      <c r="A23" s="7" t="s">
        <v>16</v>
      </c>
      <c r="B23" s="11">
        <f t="shared" si="3"/>
        <v>0</v>
      </c>
      <c r="C23" s="13">
        <v>0.5</v>
      </c>
    </row>
    <row r="24" spans="1:3" ht="15.75" customHeight="1" x14ac:dyDescent="0.15">
      <c r="A24" s="32" t="s">
        <v>20</v>
      </c>
      <c r="B24" s="20"/>
      <c r="C24" s="33">
        <f>IF(B18=0,,B24/B18)</f>
        <v>0</v>
      </c>
    </row>
  </sheetData>
  <conditionalFormatting sqref="I6">
    <cfRule type="expression" dxfId="21" priority="1">
      <formula>AND(I6&lt;&gt;$B$12, I6&lt;&gt;$B$4, I6&lt;&gt;$B$20,I6&lt;&gt;0)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155CC"/>
    <outlinePr summaryBelow="0" summaryRight="0"/>
  </sheetPr>
  <dimension ref="A1:G20"/>
  <sheetViews>
    <sheetView tabSelected="1" zoomScale="150" workbookViewId="0">
      <selection activeCell="B13" sqref="B13"/>
    </sheetView>
  </sheetViews>
  <sheetFormatPr baseColWidth="10" defaultColWidth="12.6640625" defaultRowHeight="15.75" customHeight="1" x14ac:dyDescent="0.15"/>
  <cols>
    <col min="1" max="1" width="23.1640625" customWidth="1"/>
    <col min="3" max="3" width="19.5" customWidth="1"/>
    <col min="4" max="4" width="20.5" customWidth="1"/>
    <col min="5" max="6" width="14.6640625" customWidth="1"/>
  </cols>
  <sheetData>
    <row r="1" spans="1:7" ht="15.75" customHeight="1" x14ac:dyDescent="0.15">
      <c r="A1" s="34" t="s">
        <v>25</v>
      </c>
      <c r="B1" s="5" t="s">
        <v>26</v>
      </c>
      <c r="C1" s="5" t="s">
        <v>27</v>
      </c>
      <c r="D1" s="35" t="s">
        <v>28</v>
      </c>
      <c r="E1" s="5" t="s">
        <v>4</v>
      </c>
      <c r="F1" s="35" t="s">
        <v>5</v>
      </c>
      <c r="G1" s="36" t="s">
        <v>29</v>
      </c>
    </row>
    <row r="2" spans="1:7" ht="15.75" customHeight="1" x14ac:dyDescent="0.15">
      <c r="A2" s="9" t="s">
        <v>30</v>
      </c>
      <c r="B2" s="11">
        <f t="shared" ref="B2:B19" ca="1" si="0">IF(A2=0,, SUM(INDIRECT("'" &amp; A2 &amp; "'!$B$10"),INDIRECT("'" &amp; A2 &amp; "'!$B$18"),INDIRECT("'" &amp; A2 &amp; "'!$B$2")))</f>
        <v>3000</v>
      </c>
      <c r="C2" s="11">
        <f ca="1">IF(A2=0,,SUM(INDIRECT("'" &amp; A2 &amp; "'!$B$11"),INDIRECT("'" &amp; A2 &amp; "'!$B$19"),INDIRECT("'" &amp; A2 &amp; "'!$B$3")))</f>
        <v>300</v>
      </c>
      <c r="D2" s="43">
        <f ca="1">IF(A2=0,,SUM(INDIRECT("'" &amp; A2 &amp; "'!$H$6")))</f>
        <v>300</v>
      </c>
      <c r="E2" s="11">
        <f t="shared" ref="E2:E19" ca="1" si="1">IF(A2=0,, SUM(INDIRECT("'" &amp; A2 &amp; "'!$F$6")))</f>
        <v>1800</v>
      </c>
      <c r="F2" s="43">
        <f t="shared" ref="F2:F19" ca="1" si="2">IF(A2=0,, SUM(INDIRECT("'" &amp; A2 &amp; "'!$G$6")))</f>
        <v>600</v>
      </c>
      <c r="G2" s="44">
        <f t="shared" ref="G2:G19" ca="1" si="3">SUM(E2:F2)</f>
        <v>2400</v>
      </c>
    </row>
    <row r="3" spans="1:7" ht="15.75" customHeight="1" x14ac:dyDescent="0.15">
      <c r="A3" s="37"/>
      <c r="B3" s="11">
        <f t="shared" ca="1" si="0"/>
        <v>0</v>
      </c>
      <c r="C3" s="11">
        <f t="shared" ref="C3:C19" ca="1" si="4">IF(A3=0,,SUM(INDIRECT("'" &amp; A3 &amp; "'!$B$11"),INDIRECT("'" &amp; A3 &amp; "'!$B$19"),INDIRECT("'" &amp; A3 &amp; "'!$B$3")))</f>
        <v>0</v>
      </c>
      <c r="D3" s="43">
        <f t="shared" ref="D3:D20" ca="1" si="5">IF(A3=0,,SUM(INDIRECT("'" &amp; A3 &amp; "'!$H$6")))</f>
        <v>0</v>
      </c>
      <c r="E3" s="11">
        <f t="shared" ca="1" si="1"/>
        <v>0</v>
      </c>
      <c r="F3" s="43">
        <f t="shared" ca="1" si="2"/>
        <v>0</v>
      </c>
      <c r="G3" s="44">
        <f t="shared" ca="1" si="3"/>
        <v>0</v>
      </c>
    </row>
    <row r="4" spans="1:7" ht="15.75" customHeight="1" x14ac:dyDescent="0.15">
      <c r="A4" s="37"/>
      <c r="B4" s="11">
        <f t="shared" ca="1" si="0"/>
        <v>0</v>
      </c>
      <c r="C4" s="11">
        <f t="shared" ca="1" si="4"/>
        <v>0</v>
      </c>
      <c r="D4" s="43">
        <f t="shared" ca="1" si="5"/>
        <v>0</v>
      </c>
      <c r="E4" s="11">
        <f t="shared" ca="1" si="1"/>
        <v>0</v>
      </c>
      <c r="F4" s="43">
        <f t="shared" ca="1" si="2"/>
        <v>0</v>
      </c>
      <c r="G4" s="44">
        <f t="shared" ca="1" si="3"/>
        <v>0</v>
      </c>
    </row>
    <row r="5" spans="1:7" ht="15.75" customHeight="1" x14ac:dyDescent="0.15">
      <c r="A5" s="37"/>
      <c r="B5" s="11">
        <f t="shared" ca="1" si="0"/>
        <v>0</v>
      </c>
      <c r="C5" s="11">
        <f t="shared" ca="1" si="4"/>
        <v>0</v>
      </c>
      <c r="D5" s="43">
        <f t="shared" ca="1" si="5"/>
        <v>0</v>
      </c>
      <c r="E5" s="11">
        <f t="shared" ca="1" si="1"/>
        <v>0</v>
      </c>
      <c r="F5" s="43">
        <f t="shared" ca="1" si="2"/>
        <v>0</v>
      </c>
      <c r="G5" s="44">
        <f t="shared" ca="1" si="3"/>
        <v>0</v>
      </c>
    </row>
    <row r="6" spans="1:7" ht="15.75" customHeight="1" x14ac:dyDescent="0.15">
      <c r="A6" s="37"/>
      <c r="B6" s="11">
        <f t="shared" ca="1" si="0"/>
        <v>0</v>
      </c>
      <c r="C6" s="11">
        <f t="shared" ca="1" si="4"/>
        <v>0</v>
      </c>
      <c r="D6" s="43">
        <f t="shared" ca="1" si="5"/>
        <v>0</v>
      </c>
      <c r="E6" s="11">
        <f t="shared" ca="1" si="1"/>
        <v>0</v>
      </c>
      <c r="F6" s="43">
        <f t="shared" ca="1" si="2"/>
        <v>0</v>
      </c>
      <c r="G6" s="44">
        <f t="shared" ca="1" si="3"/>
        <v>0</v>
      </c>
    </row>
    <row r="7" spans="1:7" ht="15.75" customHeight="1" x14ac:dyDescent="0.15">
      <c r="A7" s="37"/>
      <c r="B7" s="11">
        <f t="shared" ca="1" si="0"/>
        <v>0</v>
      </c>
      <c r="C7" s="11">
        <f t="shared" ca="1" si="4"/>
        <v>0</v>
      </c>
      <c r="D7" s="43">
        <f t="shared" ca="1" si="5"/>
        <v>0</v>
      </c>
      <c r="E7" s="11">
        <f t="shared" ca="1" si="1"/>
        <v>0</v>
      </c>
      <c r="F7" s="43">
        <f t="shared" ca="1" si="2"/>
        <v>0</v>
      </c>
      <c r="G7" s="44">
        <f t="shared" ca="1" si="3"/>
        <v>0</v>
      </c>
    </row>
    <row r="8" spans="1:7" ht="15.75" customHeight="1" x14ac:dyDescent="0.15">
      <c r="A8" s="37"/>
      <c r="B8" s="11">
        <f t="shared" ca="1" si="0"/>
        <v>0</v>
      </c>
      <c r="C8" s="11">
        <f t="shared" ca="1" si="4"/>
        <v>0</v>
      </c>
      <c r="D8" s="43">
        <f t="shared" ca="1" si="5"/>
        <v>0</v>
      </c>
      <c r="E8" s="11">
        <f t="shared" ca="1" si="1"/>
        <v>0</v>
      </c>
      <c r="F8" s="43">
        <f t="shared" ca="1" si="2"/>
        <v>0</v>
      </c>
      <c r="G8" s="44">
        <f t="shared" ca="1" si="3"/>
        <v>0</v>
      </c>
    </row>
    <row r="9" spans="1:7" ht="15.75" customHeight="1" x14ac:dyDescent="0.15">
      <c r="A9" s="37"/>
      <c r="B9" s="11">
        <f t="shared" ca="1" si="0"/>
        <v>0</v>
      </c>
      <c r="C9" s="11">
        <f t="shared" ca="1" si="4"/>
        <v>0</v>
      </c>
      <c r="D9" s="43">
        <f t="shared" ca="1" si="5"/>
        <v>0</v>
      </c>
      <c r="E9" s="11">
        <f t="shared" ca="1" si="1"/>
        <v>0</v>
      </c>
      <c r="F9" s="43">
        <f t="shared" ca="1" si="2"/>
        <v>0</v>
      </c>
      <c r="G9" s="44">
        <f t="shared" ca="1" si="3"/>
        <v>0</v>
      </c>
    </row>
    <row r="10" spans="1:7" ht="15.75" customHeight="1" x14ac:dyDescent="0.15">
      <c r="A10" s="37"/>
      <c r="B10" s="11">
        <f t="shared" ca="1" si="0"/>
        <v>0</v>
      </c>
      <c r="C10" s="11">
        <f t="shared" ca="1" si="4"/>
        <v>0</v>
      </c>
      <c r="D10" s="43">
        <f t="shared" ca="1" si="5"/>
        <v>0</v>
      </c>
      <c r="E10" s="11">
        <f t="shared" ca="1" si="1"/>
        <v>0</v>
      </c>
      <c r="F10" s="43">
        <f t="shared" ca="1" si="2"/>
        <v>0</v>
      </c>
      <c r="G10" s="44">
        <f t="shared" ca="1" si="3"/>
        <v>0</v>
      </c>
    </row>
    <row r="11" spans="1:7" ht="15.75" customHeight="1" x14ac:dyDescent="0.15">
      <c r="A11" s="37"/>
      <c r="B11" s="11">
        <f t="shared" ca="1" si="0"/>
        <v>0</v>
      </c>
      <c r="C11" s="11">
        <f t="shared" ca="1" si="4"/>
        <v>0</v>
      </c>
      <c r="D11" s="43">
        <f t="shared" ca="1" si="5"/>
        <v>0</v>
      </c>
      <c r="E11" s="11">
        <f t="shared" ca="1" si="1"/>
        <v>0</v>
      </c>
      <c r="F11" s="43">
        <f t="shared" ca="1" si="2"/>
        <v>0</v>
      </c>
      <c r="G11" s="44">
        <f t="shared" ca="1" si="3"/>
        <v>0</v>
      </c>
    </row>
    <row r="12" spans="1:7" ht="15.75" customHeight="1" x14ac:dyDescent="0.15">
      <c r="A12" s="37"/>
      <c r="B12" s="11">
        <f t="shared" ca="1" si="0"/>
        <v>0</v>
      </c>
      <c r="C12" s="11">
        <f t="shared" ca="1" si="4"/>
        <v>0</v>
      </c>
      <c r="D12" s="43">
        <f t="shared" ca="1" si="5"/>
        <v>0</v>
      </c>
      <c r="E12" s="11">
        <f t="shared" ca="1" si="1"/>
        <v>0</v>
      </c>
      <c r="F12" s="43">
        <f t="shared" ca="1" si="2"/>
        <v>0</v>
      </c>
      <c r="G12" s="44">
        <f t="shared" ca="1" si="3"/>
        <v>0</v>
      </c>
    </row>
    <row r="13" spans="1:7" ht="15.75" customHeight="1" x14ac:dyDescent="0.15">
      <c r="A13" s="37"/>
      <c r="B13" s="11">
        <f t="shared" ca="1" si="0"/>
        <v>0</v>
      </c>
      <c r="C13" s="11">
        <f t="shared" ca="1" si="4"/>
        <v>0</v>
      </c>
      <c r="D13" s="43">
        <f t="shared" ca="1" si="5"/>
        <v>0</v>
      </c>
      <c r="E13" s="11">
        <f t="shared" ca="1" si="1"/>
        <v>0</v>
      </c>
      <c r="F13" s="43">
        <f t="shared" ca="1" si="2"/>
        <v>0</v>
      </c>
      <c r="G13" s="44">
        <f t="shared" ca="1" si="3"/>
        <v>0</v>
      </c>
    </row>
    <row r="14" spans="1:7" ht="15.75" customHeight="1" x14ac:dyDescent="0.15">
      <c r="A14" s="37"/>
      <c r="B14" s="11">
        <f t="shared" ca="1" si="0"/>
        <v>0</v>
      </c>
      <c r="C14" s="11">
        <f t="shared" ca="1" si="4"/>
        <v>0</v>
      </c>
      <c r="D14" s="43">
        <f t="shared" ca="1" si="5"/>
        <v>0</v>
      </c>
      <c r="E14" s="11">
        <f t="shared" ca="1" si="1"/>
        <v>0</v>
      </c>
      <c r="F14" s="43">
        <f t="shared" ca="1" si="2"/>
        <v>0</v>
      </c>
      <c r="G14" s="44">
        <f t="shared" ca="1" si="3"/>
        <v>0</v>
      </c>
    </row>
    <row r="15" spans="1:7" ht="15.75" customHeight="1" x14ac:dyDescent="0.15">
      <c r="A15" s="37"/>
      <c r="B15" s="11">
        <f t="shared" ca="1" si="0"/>
        <v>0</v>
      </c>
      <c r="C15" s="11">
        <f t="shared" ca="1" si="4"/>
        <v>0</v>
      </c>
      <c r="D15" s="43">
        <f t="shared" ca="1" si="5"/>
        <v>0</v>
      </c>
      <c r="E15" s="11">
        <f t="shared" ca="1" si="1"/>
        <v>0</v>
      </c>
      <c r="F15" s="43">
        <f t="shared" ca="1" si="2"/>
        <v>0</v>
      </c>
      <c r="G15" s="44">
        <f t="shared" ca="1" si="3"/>
        <v>0</v>
      </c>
    </row>
    <row r="16" spans="1:7" ht="15.75" customHeight="1" x14ac:dyDescent="0.15">
      <c r="A16" s="37"/>
      <c r="B16" s="11">
        <f t="shared" ca="1" si="0"/>
        <v>0</v>
      </c>
      <c r="C16" s="11">
        <f t="shared" ca="1" si="4"/>
        <v>0</v>
      </c>
      <c r="D16" s="43">
        <f t="shared" ca="1" si="5"/>
        <v>0</v>
      </c>
      <c r="E16" s="11">
        <f t="shared" ca="1" si="1"/>
        <v>0</v>
      </c>
      <c r="F16" s="43">
        <f t="shared" ca="1" si="2"/>
        <v>0</v>
      </c>
      <c r="G16" s="44">
        <f t="shared" ca="1" si="3"/>
        <v>0</v>
      </c>
    </row>
    <row r="17" spans="1:7" ht="15.75" customHeight="1" x14ac:dyDescent="0.15">
      <c r="A17" s="37"/>
      <c r="B17" s="11">
        <f t="shared" ca="1" si="0"/>
        <v>0</v>
      </c>
      <c r="C17" s="11">
        <f t="shared" ca="1" si="4"/>
        <v>0</v>
      </c>
      <c r="D17" s="43">
        <f t="shared" ca="1" si="5"/>
        <v>0</v>
      </c>
      <c r="E17" s="11">
        <f t="shared" ca="1" si="1"/>
        <v>0</v>
      </c>
      <c r="F17" s="43">
        <f t="shared" ca="1" si="2"/>
        <v>0</v>
      </c>
      <c r="G17" s="44">
        <f t="shared" ca="1" si="3"/>
        <v>0</v>
      </c>
    </row>
    <row r="18" spans="1:7" ht="15.75" customHeight="1" x14ac:dyDescent="0.15">
      <c r="A18" s="37"/>
      <c r="B18" s="11">
        <f t="shared" ca="1" si="0"/>
        <v>0</v>
      </c>
      <c r="C18" s="11">
        <f t="shared" ca="1" si="4"/>
        <v>0</v>
      </c>
      <c r="D18" s="43">
        <f t="shared" ca="1" si="5"/>
        <v>0</v>
      </c>
      <c r="E18" s="11">
        <f t="shared" ca="1" si="1"/>
        <v>0</v>
      </c>
      <c r="F18" s="43">
        <f t="shared" ca="1" si="2"/>
        <v>0</v>
      </c>
      <c r="G18" s="44">
        <f t="shared" ca="1" si="3"/>
        <v>0</v>
      </c>
    </row>
    <row r="19" spans="1:7" ht="15.75" customHeight="1" x14ac:dyDescent="0.15">
      <c r="A19" s="37"/>
      <c r="B19" s="11">
        <f t="shared" ca="1" si="0"/>
        <v>0</v>
      </c>
      <c r="C19" s="11">
        <f t="shared" ca="1" si="4"/>
        <v>0</v>
      </c>
      <c r="D19" s="43">
        <f t="shared" ca="1" si="5"/>
        <v>0</v>
      </c>
      <c r="E19" s="11">
        <f t="shared" ca="1" si="1"/>
        <v>0</v>
      </c>
      <c r="F19" s="43">
        <f t="shared" ca="1" si="2"/>
        <v>0</v>
      </c>
      <c r="G19" s="44">
        <f t="shared" ca="1" si="3"/>
        <v>0</v>
      </c>
    </row>
    <row r="20" spans="1:7" ht="15.75" customHeight="1" x14ac:dyDescent="0.15">
      <c r="A20" s="38" t="s">
        <v>17</v>
      </c>
      <c r="B20" s="39">
        <f t="shared" ref="B20:G20" ca="1" si="6">SUM(B2:B19)</f>
        <v>3000</v>
      </c>
      <c r="C20" s="40">
        <f t="shared" ca="1" si="6"/>
        <v>300</v>
      </c>
      <c r="D20" s="43">
        <f ca="1">SUM(D2:D19)</f>
        <v>300</v>
      </c>
      <c r="E20" s="40">
        <f t="shared" ca="1" si="6"/>
        <v>1800</v>
      </c>
      <c r="F20" s="40">
        <f t="shared" ca="1" si="6"/>
        <v>600</v>
      </c>
      <c r="G20" s="45">
        <f t="shared" ca="1" si="6"/>
        <v>2400</v>
      </c>
    </row>
  </sheetData>
  <conditionalFormatting sqref="D2:D20">
    <cfRule type="expression" dxfId="3" priority="1" stopIfTrue="1">
      <formula>INDIRECT("'" &amp; A2 &amp; "'!$H$7")=TRUE</formula>
    </cfRule>
  </conditionalFormatting>
  <conditionalFormatting sqref="E2:E19">
    <cfRule type="expression" dxfId="5" priority="2" stopIfTrue="1">
      <formula>INDIRECT("'" &amp; A2 &amp; "'!F$7")=TRUE</formula>
    </cfRule>
  </conditionalFormatting>
  <conditionalFormatting sqref="F2:F19">
    <cfRule type="expression" dxfId="4" priority="3">
      <formula>INDIRECT("'" &amp; A2 &amp; "'!$G$7")=TRUE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TEMPLATE</vt:lpstr>
      <vt:lpstr>Example client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Leslie</cp:lastModifiedBy>
  <dcterms:modified xsi:type="dcterms:W3CDTF">2025-11-21T03:34:42Z</dcterms:modified>
</cp:coreProperties>
</file>